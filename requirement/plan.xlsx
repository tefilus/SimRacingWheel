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a487d91a365b5f6a/Desktop/"/>
    </mc:Choice>
  </mc:AlternateContent>
  <xr:revisionPtr revIDLastSave="111" documentId="11_2D6FC0EAFF11BC6F4FD55F1EEC1FFC36F7CEE07D" xr6:coauthVersionLast="47" xr6:coauthVersionMax="47" xr10:uidLastSave="{F1D446ED-EBBE-4009-B741-7F1ED3616A7F}"/>
  <bookViews>
    <workbookView xWindow="-108" yWindow="-108" windowWidth="30936" windowHeight="16776" xr2:uid="{00000000-000D-0000-FFFF-FFFF00000000}"/>
  </bookViews>
  <sheets>
    <sheet name="Phase 1 - Cơ Khí &amp; Tín Hiệu" sheetId="1" r:id="rId1"/>
    <sheet name="Phase 2 - Phản Hồi Lực FFB"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2" l="1"/>
  <c r="G10" i="2"/>
  <c r="G9" i="2"/>
  <c r="G12" i="2" s="1"/>
  <c r="G8" i="2"/>
  <c r="G7" i="2"/>
  <c r="G18" i="1"/>
  <c r="G16" i="1"/>
  <c r="G15" i="1"/>
  <c r="G14" i="1"/>
  <c r="G13" i="1"/>
  <c r="G12" i="1"/>
  <c r="G11" i="1"/>
  <c r="G10" i="1"/>
  <c r="G9" i="1"/>
  <c r="G8" i="1"/>
  <c r="G7" i="1"/>
  <c r="G19" i="1" l="1"/>
</calcChain>
</file>

<file path=xl/sharedStrings.xml><?xml version="1.0" encoding="utf-8"?>
<sst xmlns="http://schemas.openxmlformats.org/spreadsheetml/2006/main" count="122" uniqueCount="103">
  <si>
    <t>PHASE 1: HOÀN THIỆN KHUNG CƠ KHÍ &amp; TRUYỀN NHẬN TÍN HIỆU CƠ BẢN</t>
  </si>
  <si>
    <t>Mục tiêu: Đạt tính năng Realtime &lt;1ms cho góc lái (Encoder), 3 bàn đạp (ADC qua DMA) và 6 nút bấm (Còi, Đèn, Xi-nhan, Lẫy số từ tính).</t>
  </si>
  <si>
    <t>1. DANH SÁCH LINH KIỆN &amp; CHI PHÍ PHASE 1</t>
  </si>
  <si>
    <t>STT</t>
  </si>
  <si>
    <t>Tên Linh Kiện</t>
  </si>
  <si>
    <t>Vai Trò &amp; Kết Nối Phần Cứng (STM32F407)</t>
  </si>
  <si>
    <t>Số Lượng</t>
  </si>
  <si>
    <t>Đơn Giá (VND)</t>
  </si>
  <si>
    <t>Thành Tiền (VND)</t>
  </si>
  <si>
    <t>Board STM32F407 Discovery</t>
  </si>
  <si>
    <t>Sẵn có. Xử lý USB HID, đọc Encoder trục lái, đọc ADC bàn đạp và quét GPIO nút bấm.</t>
  </si>
  <si>
    <t>Encoder Quang Học 600 xung</t>
  </si>
  <si>
    <t>Trục chính vô lăng. Kết nối chân PA0, PA1 (Cấu hình TIM2 Encoder Mode phần cứng).</t>
  </si>
  <si>
    <t>Cảm biến góc cho 3 bàn đạp (Ga, Phanh, Côn) của SimPedals. Kết nối chân ADC1 (PA2, PA3, PA4).</t>
  </si>
  <si>
    <t>Nút bấm hành trình nhỏ xịn</t>
  </si>
  <si>
    <t>Gắn mặt vô lăng cho tính năng cơ bản: Còi xe, Đá pha, Xi-nhan T/P. Kết nối chân GPIO (Input Pull-up).</t>
  </si>
  <si>
    <t>Công tắc hành trình (Microswitch)</t>
  </si>
  <si>
    <t>Gắn phia sau lẫy số (Paddle Shifter) để nhận tín hiệu Tăng/Giảm số. Kết nối chân GPIO.</t>
  </si>
  <si>
    <t>Nam châm Neodymium tròn</t>
  </si>
  <si>
    <t>Tạo lực hút từ tính dứt khoát "tạch tạch" cho cơ cấu lẫy chuyển số in 3D.</t>
  </si>
  <si>
    <t>Gói đỡ ổ bi (Bạc đạn KP08)</t>
  </si>
  <si>
    <t>Đường kính trong 8mm. Định vị trục vô lăng sắt vào bệ nhựa, giúp quay êm ái.</t>
  </si>
  <si>
    <t>Trục sắt phi 8mm mài bóng</t>
  </si>
  <si>
    <t>Làm trục cốt chính truyền lực xoay từ vành vô lăng xuyên qua gối đỡ.</t>
  </si>
  <si>
    <t>Lò xo cơ khí kéo/nén lực cao</t>
  </si>
  <si>
    <t>Tạo lực phản hồi cơ học cho 3 bàn đạp và cơ cấu tự trả lái về tâm bằng dây thun/lò xo phụ.</t>
  </si>
  <si>
    <t>Cấy ren đồng M3/M4 + Vít sắt</t>
  </si>
  <si>
    <t>Ép nhiệt vào lỗ nhựa in 3D để tạo ren bắt vít tháo lắp chắc chắn, không sợ toét nhựa.</t>
  </si>
  <si>
    <t>Tiền thuê in 3D trọn gói (PETG+PLA)</t>
  </si>
  <si>
    <t>In bộ 3 bàn đạp SimPedals (In đặc 60%), vỏ hộp Wheel Base FFBeast và vành vô lăng F1 tối giản.</t>
  </si>
  <si>
    <t>Phụ kiện (Cáp Micro-USB, dây mạng)</t>
  </si>
  <si>
    <t>Cáp USB kết nối PC, cáp mạng bọc giáp chống nhiễu chạy từ bàn đạp lên cổng ADC của STM32.</t>
  </si>
  <si>
    <t>TỔNG CHI PHÍ PHẦN CỨNG PHASE 1</t>
  </si>
  <si>
    <t>2. DANH MỤC CÔNG VIỆC TRIỂN KHAI (WORK PACKAGES)</t>
  </si>
  <si>
    <t>Hạng Mục Công Việc</t>
  </si>
  <si>
    <t>Chi Tiết Các Bước Thực Hiện Bare-Metal / Cơ Khí</t>
  </si>
  <si>
    <t>Trạng Thái Cần Đạt</t>
  </si>
  <si>
    <t>Gia công cơ khí &amp; Lắp ráp vỏ</t>
  </si>
  <si>
    <t>Lấy file STL từ SimPedals và FFBeast đi thuê in 3D (nhựa PETG cho phần chịu lực). Tiến hành cấy ren đồng M3/M4 bằng mỏ hàn nhiệt. Lắp ráp trục sắt qua gối đỡ KP08 vào hộp Base, lắp hệ thống lò xo cơ học để vô lăng tự trả về tâm.</t>
  </si>
  <si>
    <t>Khung vỏ chắc chắn, vô lăng quay êm, bàn đạp có độ nảy tốt.</t>
  </si>
  <si>
    <t>Cấu hình Bare-metal đọc Encoder</t>
  </si>
  <si>
    <t>Mở STM32CubeMX, cấu hình TIM2 ở chế độ Combined Channels -&gt; Encoder Mode. Viết code đọc trực tiếp thanh ghi TIM2-&gt;CNT để lấy tọa độ góc lái vòng quay vô hạn.</t>
  </si>
  <si>
    <t>PC nhận giá trị góc xoay liên tục, không bị mất xung khi quay nhanh.</t>
  </si>
  <si>
    <t>Cấu hình ADC qua DMA cho bàn đạp</t>
  </si>
  <si>
    <t>Cấu hình ADC1 đọc 3 kênh liên tiếp (PA2, PA3, PA4). Kích hoạt chế độ Scan Mode và Continuous Conversion, cấu hình DMA ở chế độ Circular để tự động đẩy dữ liệu 12-bit vào mảng RAM. Viết bộ lọc số Moving Average chống nhiễu dây dài.</t>
  </si>
  <si>
    <t>Tín hiệu Ga/Phanh/Côn siêu mịn (4096 nấc), kim ga trong game không bị nháy.</t>
  </si>
  <si>
    <t>Cấu hình GPIO Nút bấm &amp; Lẫy số</t>
  </si>
  <si>
    <t>Cấu hình 6 chân GPIO ở chế độ Input Pull-up (4 nút mặt vô lăng cho Còi, Đèn, Xi-nhan + 2 công tắc lẫy số Paddle Shifter). Viết hàm Debounce chống rung phím bằng phần mềm.</t>
  </si>
  <si>
    <t>Nhấn nút ăn ngay, lẫy số phản hồi tức thì khi bấm.</t>
  </si>
  <si>
    <t>Xây dựng cấu trúc USB HID Descriptor</t>
  </si>
  <si>
    <t>Tự custom lại mảng HID Report Descriptor trong mã nguồn USB Device Stack của STM32 để tạo ra thiết bị Joystick/Wheel chuẩn gồm 4 trục Analog (X, Y, Z, Rz) và 6 nút bấm. Khai báo Vendor ID/Product ID tùy chọn.</t>
  </si>
  <si>
    <t>Máy tính cắm cáp nhận diện thiết bị Gaming Wheel, kiểm tra trong joy.cpl các trục hoạt động chuẩn.</t>
  </si>
  <si>
    <t>Map nút và Test game ETS2</t>
  </si>
  <si>
    <t>Kết nối hệ thống vào PC, mở game Euro Truck Simulator 2, vào phần cài đặt Controls gán thủ công trục vô lăng, bàn đạp ga/phanh/côn và 6 nút chức năng tương ứng.</t>
  </si>
  <si>
    <t>Lái xe tải mượt mà ở chế độ cơ bản, kiểm soát tốc độ và hướng lái hoàn hảo.</t>
  </si>
  <si>
    <t>PHASE 2: NÂNG CẤP ĐIỆN TỬ CÔNG SUẤT &amp; PHẢN HỒI LỰC THỜI GIAN THỰC (FFB)</t>
  </si>
  <si>
    <t>Mục tiêu: Tận dụng toàn bộ khung và mạch Phase 1, tích hợp Motor công suất, mạch cầu H và cấu hình giao thức USB PID để nhận lực từ game ghì ngược lại tay lái.</t>
  </si>
  <si>
    <t>1. DANH SÁCH LINH KIỆN NÂNG CẤP PHASE 2</t>
  </si>
  <si>
    <t>Motor DC 775 hoặc 895 (Giảm tốc)</t>
  </si>
  <si>
    <t>Động cơ tạo lực kéo FFB. Lắp vào khoang trống đã thiết kế sẵn trong hộp chứa Base in 3D của FFBeast từ Phase 1.</t>
  </si>
  <si>
    <t>Mạch cầu H BTS7960 43A</t>
  </si>
  <si>
    <t>Điều khiển dòng điện đảo chiều motor FFB. Nhận xung điều khiển siêu âm PWM 20kHz từ chân TIM1 của STM32F407 để chạy êm ái.</t>
  </si>
  <si>
    <t>Nguồn tổ ong công suất độc lập</t>
  </si>
  <si>
    <t>Cấp dòng riêng cho Motor (Nên dùng nguồn 12V 20A hoặc 24V 15A để đạt lực ghì tối đa), bảo vệ mạch điều khiển không bị sụt áp.</t>
  </si>
  <si>
    <t>Bộ Dây đai răng &amp; Pulley nhôm</t>
  </si>
  <si>
    <t>1 Bánh răng nhỏ gắn cốt motor, 1 Bánh răng lớn gắn trục chính vô lăng và vòng dây đai răng GT2. Tỉ số truyền 1:5 đến 1:7 giúp nhân momen lực xoắn ghì tay lái.</t>
  </si>
  <si>
    <t>Cảm biến Loadcell 50kg + Mạch HX711</t>
  </si>
  <si>
    <t>Tùy chọn nâng cấp cao cấp cho chân Phanh của cụm SimPedals. Thay thế biến trở xoay bằng cảm biến áp suất để tạo cảm giác nặng chân phanh chân thực.</t>
  </si>
  <si>
    <t>TỔNG CHI PHÍ NÂNG CẤP PHASE 2</t>
  </si>
  <si>
    <t>2. DANH MỤC CÔNG VIỆC TRIỂN KHAI NÂNG CẤP (WORK PACKAGES)</t>
  </si>
  <si>
    <t>Lắp ráp phần cứng Công suất</t>
  </si>
  <si>
    <t>Cố định Motor DC 775/895 vào bệ hộp Base nhựa. Lắp đặt hệ thống đai răng và pulley nối giữa trục motor và trục chính vô lăng (tháo bỏ cơ cấu lò xo trả lái tạm thời ở Phase 1). Đấu nối dây động cơ vào mạch cầu H BTS7960 và cấp nguồn từ nguồn tổ ong riêng biệt.</t>
  </si>
  <si>
    <t>Cơ cấu truyền động dây đai chắc chắn, quay vô lăng làm trục motor quay đồng bộ, không bị trượt đai.</t>
  </si>
  <si>
    <t>Cấu hình Ultrasonic PWM lái Cầu H</t>
  </si>
  <si>
    <t>Cấu hình TIM1 trên STM32F407 xuất 2 kênh PWM ngược pha (hoặc 1 chân PWM, 1 chân GPIO chọn chiều) cấp vào mạch BTS7960. Tính toán Bare-metal đặt Prescaler = 0 và ARR = 8399 để đưa tần số xung đạt đúng 20kHz (Tần số siêu âm đối với tai người để motor chạy êm không tiếng rít).</t>
  </si>
  <si>
    <t>Motor chạy êm, phản hồi mượt mà theo giá trị điền vào thanh ghi TIM1-&gt;CCR.</t>
  </si>
  <si>
    <t>Nâng cấp giao thức USB HID sang chuẩn PID FFB</t>
  </si>
  <si>
    <t>Sửa đổi file Descriptor từ Phase 1, thêm Usage Page (Physical Interface Device - 0x0F) để thông báo cho Windows biết đây là thiết bị có phản hồi lực. Khai báo các khối hòm thư nhận lệnh (Output Report) để bắt các gói tin lệnh FFB từ PC truyền xuống.</t>
  </si>
  <si>
    <t>Windows nhận diện thiết bị ở chế độ Force Feedback Wheel, mục FFB trong game ETS2 được mở khóa (không bị xám mờ).</t>
  </si>
  <si>
    <t>Viết bộ giải mã lệnh lực (PID Parser)</t>
  </si>
  <si>
    <t>Viết code Bare-metal trong hàm ngắt USB OUT để bóc tách gói tin hiệu ứng lực từ game truyền xuống (các hiệu ứng Constant Force, Ramp Force, Square, Sine, Spring, Damper). Quy đổi các giá trị lực toán học này ra mức phần trăm Duty Cycle tương ứng của xung PWM.</t>
  </si>
  <si>
    <t>STM32 bóc tách chính xác hướng lực và độ lớn của lực ghì từ game gửi xuống sau mỗi 1ms.</t>
  </si>
  <si>
    <t>Nâng cấp chân Phanh Loadcell (Tùy chọn)</t>
  </si>
  <si>
    <t>Tháo biến trở chân phanh ở Phase 1, gá cảm biến Loadcell và mạch HX711 vào pít-tông SimPedals. Viết driver Bare-metal đọc dữ liệu số từ chip HX711 thông qua giao tiếp 2 dây (Data/Clock). Quy đổi áp lực chân đạp thành giá trị trục Phanh.</t>
  </si>
  <si>
    <t>Hành trình đạp phanh nặng và chân thực tuyệt đối dựa trên lực đạp chân chứ không dựa trên góc xoay.</t>
  </si>
  <si>
    <t>Cân chỉnh (Calibration) và Trải nghiệm nâng cao</t>
  </si>
  <si>
    <t>Bật game ETS2, tăng max các thanh trượt hiệu ứng lực: Lực lốp xe, độ xóc của đường, lực ghì cua theo tốc độ, va chạm. Tiến hành chạy thử xe tải ôm cua để kiểm tra tính năng tự trả lái bằng lực Motor thay thế cho lò xo cơ học cũ.</t>
  </si>
  <si>
    <t>Vô lăng tự ghì nặng khi chạy nhanh, nhẹ khi đi chậm, giật mạnh khi đi qua gờ giảm tốc hoặc đâm đụng, trải nghiệm giống xe tải thực tế 100%.</t>
  </si>
  <si>
    <t>T.B.D</t>
  </si>
  <si>
    <t>Link</t>
  </si>
  <si>
    <t>https://www.thegioiic.com/hn3806-ab-600g-rotary-encoder-600-xung-5vdc-dung-cho-mcu</t>
  </si>
  <si>
    <t>https://shopee.vn/Bi%E1%BA%BFn-Tr%E1%BB%9F-Ch%C3%ADnh-X%C3%A1c-BOURNS-MEXICO-3590S-2-202L-2K-Ohm-502L-5K-Ohm-103L-10K-Ohm-503L-50K-Ohm-203L-20K-Ohm-104L-100K-OHM-i.139585411.2245207930</t>
  </si>
  <si>
    <t>Biến Trở Chính Xác BOURNS MEXICO 3590S</t>
  </si>
  <si>
    <t>https://www.thegioiic.com/ss-5-cong-tac-hanh-trinh-omron-250vac-3a-spdt</t>
  </si>
  <si>
    <t>https://www.thegioiic.com/ss-5gl2-cong-tac-hanh-trinh-omron-250vac-3a-spdt-no-nc</t>
  </si>
  <si>
    <t xml:space="preserve"> </t>
  </si>
  <si>
    <t>https://shopee.vn/C%C3%B4ng-t%E1%BA%AFc-h%C3%A0nh-tr%C3%ACnh-CMV103D-c%C3%B4ng-t%E1%BA%AFc-b%E1%BA%A3n-l%E1%BB%81-c%C3%B4ng-t%E1%BA%AFc-gi%E1%BB%9Bi-h%E1%BA%A1n-c%C3%B4ng-t%E1%BA%AFc-%C4%91i%E1%BB%81u-khi%E1%BB%83n-t%E1%BB%B1-%C4%91%E1%BB%99ng-c%C3%B4ng-t%E1%BA%AFc-chuy%E1%BB%83n-%C4%91%E1%BB%95i-c%C3%B4ng-t%E1%BA%AFc-i.634168798.24021100741?extraParams=%7B%22display_model_id%22%3A147260257474%2C%22model_selection_logic%22%3A3%7D&amp;sp_atk=df45b207-190b-4f51-98e7-c3258e6143e4&amp;xptdk=df45b207-190b-4f51-98e7-c3258e6143e4</t>
  </si>
  <si>
    <t>https://shopee.vn/10-Vi%C3%AAn-Nam-Ch%C3%A2m-Neodymium-Tr%E1%BA%AFng-Tr%C3%B2n-Si%C3%AAu-M%E1%BA%A1nh-N35-N52-Nhi%E1%BB%81u-K%C3%ADch-Th%C6%B0%E1%BB%9Bc-Nam-Ch%C3%A2m-V%C4%A9nh-C%E1%BB%ADu-L%E1%BB%B1c-H%C3%BAt-C%E1%BB%B1c-Kh%E1%BB%8Fe-i.1717132869.47104649043?extraParams=%7B%22display_model_id%22%3A320512478335%2C%22model_selection_logic%22%3A3%7D&amp;sp_atk=1bd1494c-0f5e-4ee6-ae89-21e8df58ab1d&amp;xptdk=1bd1494c-0f5e-4ee6-ae89-21e8df58ab1d</t>
  </si>
  <si>
    <t>https://www.thegioiic.com/kp08-goi-do-vong-bi-8mm</t>
  </si>
  <si>
    <t>https://shopee.vn/Tr%E1%BB%A5c-th%C3%A9p-fi-8mm-12cm-i.872854875.20091387937</t>
  </si>
  <si>
    <t>https://shopee.vn/Ren-c%E1%BA%A5y-Helicoil-inox-304-M2-M2.5-M3-M4-M5-M6-M8-M10-h%C3%A0ng-%C4%91%E1%BA%B9p-i.175876550.22900736198?extraParams=%7B%22display_model_id%22%3A192785844654%2C%22model_selection_logic%22%3A3%7D&amp;sp_atk=d75a4ae4-4720-48a9-b924-3befa3794c32&amp;xptdk=d75a4ae4-4720-48a9-b924-3befa3794c32</t>
  </si>
  <si>
    <t>note</t>
  </si>
  <si>
    <t>40 cái M3x4mm (hoặc M3x5mm) + 10 cái M4x5mm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</si>
</sst>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 đ&quot;"/>
  </numFmts>
  <fonts count="7" x14ac:knownFonts="1">
    <font>
      <sz val="11"/>
      <color theme="1"/>
      <name val="Arial"/>
      <family val="2"/>
      <scheme val="minor"/>
    </font>
    <font>
      <b/>
      <sz val="13"/>
      <color rgb="FF1F497D"/>
      <name val="Segoe UI"/>
    </font>
    <font>
      <i/>
      <sz val="9"/>
      <name val="Segoe UI"/>
    </font>
    <font>
      <b/>
      <sz val="10"/>
      <name val="Segoe UI"/>
    </font>
    <font>
      <b/>
      <sz val="10"/>
      <color rgb="FFFFFFFF"/>
      <name val="Segoe UI"/>
    </font>
    <font>
      <sz val="10"/>
      <name val="Segoe UI"/>
    </font>
    <font>
      <u/>
      <sz val="11"/>
      <color theme="10"/>
      <name val="Arial"/>
      <family val="2"/>
      <scheme val="minor"/>
    </font>
  </fonts>
  <fills count="6">
    <fill>
      <patternFill patternType="none"/>
    </fill>
    <fill>
      <patternFill patternType="gray125"/>
    </fill>
    <fill>
      <patternFill patternType="solid">
        <fgColor rgb="FF1F497D"/>
        <bgColor rgb="FF1F497D"/>
      </patternFill>
    </fill>
    <fill>
      <patternFill patternType="solid">
        <fgColor rgb="FFF2F5F8"/>
        <bgColor rgb="FFF2F5F8"/>
      </patternFill>
    </fill>
    <fill>
      <patternFill patternType="solid">
        <fgColor rgb="FFDCE6F1"/>
        <bgColor rgb="FFDCE6F1"/>
      </patternFill>
    </fill>
    <fill>
      <patternFill patternType="solid">
        <fgColor rgb="FF7030A0"/>
        <bgColor rgb="FF7030A0"/>
      </patternFill>
    </fill>
  </fills>
  <borders count="3">
    <border>
      <left/>
      <right/>
      <top/>
      <bottom/>
      <diagonal/>
    </border>
    <border>
      <left style="thin">
        <color rgb="FFBDD7EE"/>
      </left>
      <right style="thin">
        <color rgb="FFBDD7EE"/>
      </right>
      <top style="thin">
        <color rgb="FFBDD7EE"/>
      </top>
      <bottom style="thin">
        <color rgb="FFBDD7EE"/>
      </bottom>
      <diagonal/>
    </border>
    <border>
      <left style="thin">
        <color rgb="FFBDD7EE"/>
      </left>
      <right/>
      <top/>
      <bottom/>
      <diagonal/>
    </border>
  </borders>
  <cellStyleXfs count="2">
    <xf numFmtId="0" fontId="0" fillId="0" borderId="0"/>
    <xf numFmtId="0" fontId="6" fillId="0" borderId="0" applyNumberFormat="0" applyFill="0" applyBorder="0" applyAlignment="0" applyProtection="0"/>
  </cellStyleXfs>
  <cellXfs count="43">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horizontal="center" vertical="center"/>
    </xf>
    <xf numFmtId="0" fontId="5" fillId="0" borderId="1" xfId="0" applyFont="1" applyBorder="1" applyAlignment="1">
      <alignment horizontal="center"/>
    </xf>
    <xf numFmtId="0" fontId="5" fillId="0" borderId="1" xfId="0" applyFont="1" applyBorder="1"/>
    <xf numFmtId="0" fontId="5" fillId="0" borderId="1" xfId="0" applyFont="1" applyBorder="1" applyAlignment="1">
      <alignment wrapText="1"/>
    </xf>
    <xf numFmtId="164" fontId="5" fillId="0" borderId="1" xfId="0" applyNumberFormat="1" applyFont="1" applyBorder="1" applyAlignment="1">
      <alignment horizontal="right"/>
    </xf>
    <xf numFmtId="0" fontId="5" fillId="3" borderId="1" xfId="0" applyFont="1" applyFill="1" applyBorder="1" applyAlignment="1">
      <alignment horizontal="center"/>
    </xf>
    <xf numFmtId="0" fontId="5" fillId="3" borderId="1" xfId="0" applyFont="1" applyFill="1" applyBorder="1"/>
    <xf numFmtId="0" fontId="5" fillId="3" borderId="1" xfId="0" applyFont="1" applyFill="1" applyBorder="1" applyAlignment="1">
      <alignment wrapText="1"/>
    </xf>
    <xf numFmtId="164" fontId="5" fillId="3" borderId="1" xfId="0" applyNumberFormat="1" applyFont="1" applyFill="1" applyBorder="1" applyAlignment="1">
      <alignment horizontal="right"/>
    </xf>
    <xf numFmtId="0" fontId="0" fillId="0" borderId="1" xfId="0" applyBorder="1"/>
    <xf numFmtId="0" fontId="3" fillId="0" borderId="1" xfId="0" applyFont="1" applyBorder="1"/>
    <xf numFmtId="164" fontId="3" fillId="4" borderId="0" xfId="0" applyNumberFormat="1" applyFont="1" applyFill="1" applyAlignment="1">
      <alignment horizontal="right"/>
    </xf>
    <xf numFmtId="0" fontId="5" fillId="3" borderId="1" xfId="0" applyFont="1" applyFill="1" applyBorder="1" applyAlignment="1">
      <alignment horizontal="center" vertical="top"/>
    </xf>
    <xf numFmtId="0" fontId="5" fillId="3" borderId="1" xfId="0" applyFont="1" applyFill="1" applyBorder="1" applyAlignment="1">
      <alignment vertical="top" wrapText="1"/>
    </xf>
    <xf numFmtId="0" fontId="5" fillId="0" borderId="1" xfId="0" applyFont="1" applyBorder="1" applyAlignment="1">
      <alignment horizontal="center" vertical="top"/>
    </xf>
    <xf numFmtId="0" fontId="5" fillId="0" borderId="1" xfId="0" applyFont="1" applyBorder="1" applyAlignment="1">
      <alignment vertical="top" wrapText="1"/>
    </xf>
    <xf numFmtId="0" fontId="4" fillId="5" borderId="0" xfId="0" applyFont="1" applyFill="1" applyAlignment="1">
      <alignment horizontal="center" vertical="center"/>
    </xf>
    <xf numFmtId="0" fontId="5" fillId="3" borderId="2" xfId="0" applyFont="1" applyFill="1" applyBorder="1" applyAlignment="1">
      <alignment horizontal="left" vertical="center" wrapText="1"/>
    </xf>
    <xf numFmtId="0" fontId="5" fillId="3" borderId="0" xfId="0" applyFont="1" applyFill="1" applyBorder="1" applyAlignment="1">
      <alignment horizontal="left" vertical="center" wrapText="1"/>
    </xf>
    <xf numFmtId="0" fontId="5" fillId="0" borderId="2" xfId="0" applyFont="1" applyBorder="1" applyAlignment="1">
      <alignment horizontal="left" vertical="center" wrapText="1"/>
    </xf>
    <xf numFmtId="0" fontId="5" fillId="0" borderId="0" xfId="0" applyFont="1" applyBorder="1" applyAlignment="1">
      <alignment horizontal="left" vertical="center" wrapText="1"/>
    </xf>
    <xf numFmtId="0" fontId="6" fillId="0" borderId="0" xfId="1" applyAlignment="1">
      <alignment vertical="center"/>
    </xf>
    <xf numFmtId="0" fontId="3" fillId="0" borderId="0" xfId="0" applyFont="1" applyAlignment="1">
      <alignment vertical="center"/>
    </xf>
    <xf numFmtId="0" fontId="0" fillId="0" borderId="0" xfId="0" applyAlignment="1">
      <alignment vertical="center"/>
    </xf>
    <xf numFmtId="0" fontId="5" fillId="0" borderId="1" xfId="0" applyFont="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vertical="center" wrapText="1"/>
    </xf>
    <xf numFmtId="164" fontId="5" fillId="0" borderId="1" xfId="0" applyNumberFormat="1" applyFont="1" applyBorder="1" applyAlignment="1">
      <alignment horizontal="right" vertical="center"/>
    </xf>
    <xf numFmtId="0" fontId="5" fillId="3" borderId="1" xfId="0" applyFont="1" applyFill="1" applyBorder="1" applyAlignment="1">
      <alignment horizontal="center" vertical="center"/>
    </xf>
    <xf numFmtId="0" fontId="5" fillId="3" borderId="1" xfId="0" applyFont="1" applyFill="1" applyBorder="1" applyAlignment="1">
      <alignment vertical="center"/>
    </xf>
    <xf numFmtId="0" fontId="5" fillId="3" borderId="1" xfId="0" applyFont="1" applyFill="1" applyBorder="1" applyAlignment="1">
      <alignment vertical="center" wrapText="1"/>
    </xf>
    <xf numFmtId="164" fontId="5" fillId="3" borderId="1" xfId="0" applyNumberFormat="1" applyFont="1" applyFill="1" applyBorder="1" applyAlignment="1">
      <alignment horizontal="right" vertical="center"/>
    </xf>
    <xf numFmtId="0" fontId="0" fillId="0" borderId="1" xfId="0" applyBorder="1" applyAlignment="1">
      <alignment vertical="center"/>
    </xf>
    <xf numFmtId="0" fontId="3" fillId="0" borderId="1" xfId="0" applyFont="1" applyBorder="1" applyAlignment="1">
      <alignment vertical="center"/>
    </xf>
    <xf numFmtId="164" fontId="3" fillId="4" borderId="0" xfId="0" applyNumberFormat="1" applyFont="1" applyFill="1" applyAlignment="1">
      <alignment horizontal="righ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Border="1" applyAlignment="1">
      <alignment vertical="center"/>
    </xf>
    <xf numFmtId="0" fontId="0" fillId="0" borderId="0" xfId="0" applyBorder="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hopee.vn/Tr%E1%BB%A5c-th%C3%A9p-fi-8mm-12cm-i.872854875.20091387937" TargetMode="External"/><Relationship Id="rId3" Type="http://schemas.openxmlformats.org/officeDocument/2006/relationships/hyperlink" Target="https://shopee.vn/C%C3%B4ng-t%E1%BA%AFc-h%C3%A0nh-tr%C3%ACnh-CMV103D-c%C3%B4ng-t%E1%BA%AFc-b%E1%BA%A3n-l%E1%BB%81-c%C3%B4ng-t%E1%BA%AFc-gi%E1%BB%9Bi-h%E1%BA%A1n-c%C3%B4ng-t%E1%BA%AFc-%C4%91i%E1%BB%81u-khi%E1%BB%83n-t%E1%BB%B1-%C4%91%E1%BB%99ng-c%C3%B4ng-t%E1%BA%AFc-chuy%E1%BB%83n-%C4%91%E1%BB%95i-c%C3%B4ng-t%E1%BA%AFc-i.634168798.24021100741?extraParams=%7B%22display_model_id%22%3A147260257474%2C%22model_selection_logic%22%3A3%7D&amp;sp_atk=df45b207-190b-4f51-98e7-c3258e6143e4&amp;xptdk=df45b207-190b-4f51-98e7-c3258e6143e4" TargetMode="External"/><Relationship Id="rId7" Type="http://schemas.openxmlformats.org/officeDocument/2006/relationships/hyperlink" Target="https://www.thegioiic.com/kp08-goi-do-vong-bi-8mm" TargetMode="External"/><Relationship Id="rId2" Type="http://schemas.openxmlformats.org/officeDocument/2006/relationships/hyperlink" Target="https://shopee.vn/Bi%E1%BA%BFn-Tr%E1%BB%9F-Ch%C3%ADnh-X%C3%A1c-BOURNS-MEXICO-3590S-2-202L-2K-Ohm-502L-5K-Ohm-103L-10K-Ohm-503L-50K-Ohm-203L-20K-Ohm-104L-100K-OHM-i.139585411.2245207930" TargetMode="External"/><Relationship Id="rId1" Type="http://schemas.openxmlformats.org/officeDocument/2006/relationships/hyperlink" Target="https://www.thegioiic.com/hn3806-ab-600g-rotary-encoder-600-xung-5vdc-dung-cho-mcu" TargetMode="External"/><Relationship Id="rId6" Type="http://schemas.openxmlformats.org/officeDocument/2006/relationships/hyperlink" Target="https://shopee.vn/10-Vi%C3%AAn-Nam-Ch%C3%A2m-Neodymium-Tr%E1%BA%AFng-Tr%C3%B2n-Si%C3%AAu-M%E1%BA%A1nh-N35-N52-Nhi%E1%BB%81u-K%C3%ADch-Th%C6%B0%E1%BB%9Bc-Nam-Ch%C3%A2m-V%C4%A9nh-C%E1%BB%ADu-L%E1%BB%B1c-H%C3%BAt-C%E1%BB%B1c-Kh%E1%BB%8Fe-i.1717132869.47104649043?extraParams=%7B%22display_model_id%22%3A320512478335%2C%22model_selection_logic%22%3A3%7D&amp;sp_atk=1bd1494c-0f5e-4ee6-ae89-21e8df58ab1d&amp;xptdk=1bd1494c-0f5e-4ee6-ae89-21e8df58ab1d" TargetMode="External"/><Relationship Id="rId5" Type="http://schemas.openxmlformats.org/officeDocument/2006/relationships/hyperlink" Target="https://www.thegioiic.com/ss-5gl2-cong-tac-hanh-trinh-omron-250vac-3a-spdt-no-nc" TargetMode="External"/><Relationship Id="rId10" Type="http://schemas.openxmlformats.org/officeDocument/2006/relationships/printerSettings" Target="../printerSettings/printerSettings1.bin"/><Relationship Id="rId4" Type="http://schemas.openxmlformats.org/officeDocument/2006/relationships/hyperlink" Target="https://www.thegioiic.com/ss-5-cong-tac-hanh-trinh-omron-250vac-3a-spdt" TargetMode="External"/><Relationship Id="rId9" Type="http://schemas.openxmlformats.org/officeDocument/2006/relationships/hyperlink" Target="https://shopee.vn/Ren-c%E1%BA%A5y-Helicoil-inox-304-M2-M2.5-M3-M4-M5-M6-M8-M10-h%C3%A0ng-%C4%91%E1%BA%B9p-i.175876550.22900736198?extraParams=%7B%22display_model_id%22%3A192785844654%2C%22model_selection_logic%22%3A3%7D&amp;sp_atk=d75a4ae4-4720-48a9-b924-3befa3794c32&amp;xptdk=d75a4ae4-4720-48a9-b924-3befa3794c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29"/>
  <sheetViews>
    <sheetView tabSelected="1" workbookViewId="0">
      <selection activeCell="J24" sqref="J24"/>
    </sheetView>
  </sheetViews>
  <sheetFormatPr defaultRowHeight="13.8" x14ac:dyDescent="0.25"/>
  <cols>
    <col min="1" max="1" width="8.796875" style="27"/>
    <col min="2" max="2" width="6" style="27" customWidth="1"/>
    <col min="3" max="3" width="35" style="27" customWidth="1"/>
    <col min="4" max="4" width="55" style="27" customWidth="1"/>
    <col min="5" max="5" width="10" style="27" customWidth="1"/>
    <col min="6" max="6" width="15" style="27" customWidth="1"/>
    <col min="7" max="7" width="18" style="27" customWidth="1"/>
    <col min="8" max="8" width="25.8984375" style="27" customWidth="1"/>
    <col min="9" max="16384" width="8.796875" style="27"/>
  </cols>
  <sheetData>
    <row r="2" spans="2:10" ht="19.8" x14ac:dyDescent="0.25">
      <c r="B2" s="39" t="s">
        <v>0</v>
      </c>
    </row>
    <row r="3" spans="2:10" x14ac:dyDescent="0.25">
      <c r="B3" s="40" t="s">
        <v>1</v>
      </c>
    </row>
    <row r="5" spans="2:10" ht="15" x14ac:dyDescent="0.25">
      <c r="B5" s="41" t="s">
        <v>2</v>
      </c>
      <c r="C5" s="42"/>
      <c r="D5" s="42"/>
      <c r="E5" s="42"/>
      <c r="F5" s="42"/>
      <c r="G5" s="42"/>
    </row>
    <row r="6" spans="2:10" ht="15" x14ac:dyDescent="0.25">
      <c r="B6" s="4" t="s">
        <v>3</v>
      </c>
      <c r="C6" s="4" t="s">
        <v>4</v>
      </c>
      <c r="D6" s="4" t="s">
        <v>5</v>
      </c>
      <c r="E6" s="4" t="s">
        <v>6</v>
      </c>
      <c r="F6" s="4" t="s">
        <v>7</v>
      </c>
      <c r="G6" s="4" t="s">
        <v>8</v>
      </c>
      <c r="H6" s="4" t="s">
        <v>89</v>
      </c>
      <c r="I6" s="27" t="s">
        <v>101</v>
      </c>
    </row>
    <row r="7" spans="2:10" ht="30" x14ac:dyDescent="0.25">
      <c r="B7" s="28">
        <v>1</v>
      </c>
      <c r="C7" s="29" t="s">
        <v>9</v>
      </c>
      <c r="D7" s="30" t="s">
        <v>10</v>
      </c>
      <c r="E7" s="28">
        <v>1</v>
      </c>
      <c r="F7" s="31">
        <v>0</v>
      </c>
      <c r="G7" s="31">
        <f>E7*F7</f>
        <v>0</v>
      </c>
      <c r="I7" s="27" t="s">
        <v>95</v>
      </c>
    </row>
    <row r="8" spans="2:10" ht="30" x14ac:dyDescent="0.25">
      <c r="B8" s="32">
        <v>2</v>
      </c>
      <c r="C8" s="33" t="s">
        <v>11</v>
      </c>
      <c r="D8" s="34" t="s">
        <v>12</v>
      </c>
      <c r="E8" s="32">
        <v>1</v>
      </c>
      <c r="F8" s="35">
        <v>220000</v>
      </c>
      <c r="G8" s="35">
        <f>E8*F8</f>
        <v>220000</v>
      </c>
      <c r="H8" s="25" t="s">
        <v>90</v>
      </c>
      <c r="I8" s="27" t="s">
        <v>95</v>
      </c>
    </row>
    <row r="9" spans="2:10" ht="30" x14ac:dyDescent="0.25">
      <c r="B9" s="28">
        <v>3</v>
      </c>
      <c r="C9" s="29" t="s">
        <v>92</v>
      </c>
      <c r="D9" s="30" t="s">
        <v>13</v>
      </c>
      <c r="E9" s="28">
        <v>3</v>
      </c>
      <c r="F9" s="31">
        <v>15000</v>
      </c>
      <c r="G9" s="31">
        <f>E9*F9</f>
        <v>45000</v>
      </c>
      <c r="H9" s="25" t="s">
        <v>91</v>
      </c>
      <c r="I9" s="27" t="s">
        <v>95</v>
      </c>
    </row>
    <row r="10" spans="2:10" ht="30" x14ac:dyDescent="0.25">
      <c r="B10" s="32">
        <v>4</v>
      </c>
      <c r="C10" s="33" t="s">
        <v>14</v>
      </c>
      <c r="D10" s="34" t="s">
        <v>15</v>
      </c>
      <c r="E10" s="32">
        <v>4</v>
      </c>
      <c r="F10" s="35">
        <v>13680</v>
      </c>
      <c r="G10" s="35">
        <f>E10*F10</f>
        <v>54720</v>
      </c>
      <c r="H10" s="25" t="s">
        <v>93</v>
      </c>
      <c r="I10" s="25" t="s">
        <v>96</v>
      </c>
      <c r="J10" s="27" t="s">
        <v>95</v>
      </c>
    </row>
    <row r="11" spans="2:10" ht="30" x14ac:dyDescent="0.25">
      <c r="B11" s="28">
        <v>5</v>
      </c>
      <c r="C11" s="29" t="s">
        <v>16</v>
      </c>
      <c r="D11" s="30" t="s">
        <v>17</v>
      </c>
      <c r="E11" s="28">
        <v>2</v>
      </c>
      <c r="F11" s="31">
        <v>17100</v>
      </c>
      <c r="G11" s="31">
        <f>E11*F11</f>
        <v>34200</v>
      </c>
      <c r="H11" s="25" t="s">
        <v>94</v>
      </c>
      <c r="I11" s="27" t="s">
        <v>95</v>
      </c>
    </row>
    <row r="12" spans="2:10" ht="30" x14ac:dyDescent="0.25">
      <c r="B12" s="32">
        <v>6</v>
      </c>
      <c r="C12" s="33" t="s">
        <v>18</v>
      </c>
      <c r="D12" s="34" t="s">
        <v>19</v>
      </c>
      <c r="E12" s="32">
        <v>4</v>
      </c>
      <c r="F12" s="35">
        <v>3900</v>
      </c>
      <c r="G12" s="35">
        <f>E12*F12</f>
        <v>15600</v>
      </c>
      <c r="H12" s="25" t="s">
        <v>97</v>
      </c>
      <c r="I12" s="27" t="s">
        <v>95</v>
      </c>
    </row>
    <row r="13" spans="2:10" ht="30" x14ac:dyDescent="0.25">
      <c r="B13" s="28">
        <v>7</v>
      </c>
      <c r="C13" s="29" t="s">
        <v>20</v>
      </c>
      <c r="D13" s="30" t="s">
        <v>21</v>
      </c>
      <c r="E13" s="28">
        <v>2</v>
      </c>
      <c r="F13" s="31">
        <v>18240</v>
      </c>
      <c r="G13" s="31">
        <f>E13*F13</f>
        <v>36480</v>
      </c>
      <c r="H13" s="25" t="s">
        <v>98</v>
      </c>
      <c r="I13" s="27" t="s">
        <v>95</v>
      </c>
    </row>
    <row r="14" spans="2:10" ht="31.2" customHeight="1" x14ac:dyDescent="0.25">
      <c r="B14" s="32">
        <v>8</v>
      </c>
      <c r="C14" s="33" t="s">
        <v>22</v>
      </c>
      <c r="D14" s="34" t="s">
        <v>23</v>
      </c>
      <c r="E14" s="32">
        <v>1</v>
      </c>
      <c r="F14" s="35">
        <v>25000</v>
      </c>
      <c r="G14" s="35">
        <f>E14*F14</f>
        <v>25000</v>
      </c>
      <c r="H14" s="25" t="s">
        <v>99</v>
      </c>
      <c r="I14" s="27" t="s">
        <v>95</v>
      </c>
    </row>
    <row r="15" spans="2:10" ht="30" x14ac:dyDescent="0.25">
      <c r="B15" s="28">
        <v>9</v>
      </c>
      <c r="C15" s="29" t="s">
        <v>24</v>
      </c>
      <c r="D15" s="30" t="s">
        <v>25</v>
      </c>
      <c r="E15" s="28">
        <v>4</v>
      </c>
      <c r="F15" s="31">
        <v>15000</v>
      </c>
      <c r="G15" s="31">
        <f>E15*F15</f>
        <v>60000</v>
      </c>
    </row>
    <row r="16" spans="2:10" ht="30" x14ac:dyDescent="0.25">
      <c r="B16" s="32">
        <v>10</v>
      </c>
      <c r="C16" s="33" t="s">
        <v>26</v>
      </c>
      <c r="D16" s="34" t="s">
        <v>27</v>
      </c>
      <c r="E16" s="32">
        <v>1</v>
      </c>
      <c r="F16" s="35">
        <v>50000</v>
      </c>
      <c r="G16" s="35">
        <f>E16*F16</f>
        <v>50000</v>
      </c>
      <c r="H16" s="25" t="s">
        <v>100</v>
      </c>
      <c r="I16" s="27" t="s">
        <v>102</v>
      </c>
    </row>
    <row r="17" spans="2:7" ht="30" x14ac:dyDescent="0.25">
      <c r="B17" s="28">
        <v>11</v>
      </c>
      <c r="C17" s="29" t="s">
        <v>28</v>
      </c>
      <c r="D17" s="30" t="s">
        <v>29</v>
      </c>
      <c r="E17" s="28">
        <v>1</v>
      </c>
      <c r="F17" s="31" t="s">
        <v>88</v>
      </c>
      <c r="G17" s="31" t="s">
        <v>88</v>
      </c>
    </row>
    <row r="18" spans="2:7" ht="30" x14ac:dyDescent="0.25">
      <c r="B18" s="32">
        <v>12</v>
      </c>
      <c r="C18" s="33" t="s">
        <v>30</v>
      </c>
      <c r="D18" s="34" t="s">
        <v>31</v>
      </c>
      <c r="E18" s="32">
        <v>1</v>
      </c>
      <c r="F18" s="35">
        <v>50000</v>
      </c>
      <c r="G18" s="35">
        <f>E18*F18</f>
        <v>50000</v>
      </c>
    </row>
    <row r="19" spans="2:7" ht="15" x14ac:dyDescent="0.25">
      <c r="B19" s="36"/>
      <c r="C19" s="37" t="s">
        <v>32</v>
      </c>
      <c r="D19" s="36"/>
      <c r="E19" s="36"/>
      <c r="F19" s="36"/>
      <c r="G19" s="38">
        <f>SUM(G7:G18)</f>
        <v>591000</v>
      </c>
    </row>
    <row r="22" spans="2:7" ht="15" x14ac:dyDescent="0.25">
      <c r="B22" s="26" t="s">
        <v>33</v>
      </c>
    </row>
    <row r="23" spans="2:7" ht="15" x14ac:dyDescent="0.25">
      <c r="B23" s="4" t="s">
        <v>3</v>
      </c>
      <c r="C23" s="4" t="s">
        <v>34</v>
      </c>
      <c r="D23" s="4" t="s">
        <v>35</v>
      </c>
      <c r="E23" s="4" t="s">
        <v>36</v>
      </c>
    </row>
    <row r="24" spans="2:7" ht="90" customHeight="1" x14ac:dyDescent="0.25">
      <c r="B24" s="32">
        <v>1</v>
      </c>
      <c r="C24" s="34" t="s">
        <v>37</v>
      </c>
      <c r="D24" s="34" t="s">
        <v>38</v>
      </c>
      <c r="E24" s="21" t="s">
        <v>39</v>
      </c>
      <c r="F24" s="22"/>
      <c r="G24" s="22"/>
    </row>
    <row r="25" spans="2:7" ht="45" x14ac:dyDescent="0.25">
      <c r="B25" s="28">
        <v>2</v>
      </c>
      <c r="C25" s="30" t="s">
        <v>40</v>
      </c>
      <c r="D25" s="30" t="s">
        <v>41</v>
      </c>
      <c r="E25" s="23" t="s">
        <v>42</v>
      </c>
      <c r="F25" s="24"/>
      <c r="G25" s="24"/>
    </row>
    <row r="26" spans="2:7" ht="60" x14ac:dyDescent="0.25">
      <c r="B26" s="32">
        <v>3</v>
      </c>
      <c r="C26" s="34" t="s">
        <v>43</v>
      </c>
      <c r="D26" s="34" t="s">
        <v>44</v>
      </c>
      <c r="E26" s="21" t="s">
        <v>45</v>
      </c>
      <c r="F26" s="22"/>
      <c r="G26" s="22"/>
    </row>
    <row r="27" spans="2:7" ht="45" x14ac:dyDescent="0.25">
      <c r="B27" s="28">
        <v>4</v>
      </c>
      <c r="C27" s="30" t="s">
        <v>46</v>
      </c>
      <c r="D27" s="30" t="s">
        <v>47</v>
      </c>
      <c r="E27" s="23" t="s">
        <v>48</v>
      </c>
      <c r="F27" s="24"/>
      <c r="G27" s="24"/>
    </row>
    <row r="28" spans="2:7" ht="60" x14ac:dyDescent="0.25">
      <c r="B28" s="32">
        <v>5</v>
      </c>
      <c r="C28" s="34" t="s">
        <v>49</v>
      </c>
      <c r="D28" s="34" t="s">
        <v>50</v>
      </c>
      <c r="E28" s="21" t="s">
        <v>51</v>
      </c>
      <c r="F28" s="22"/>
      <c r="G28" s="22"/>
    </row>
    <row r="29" spans="2:7" ht="45" x14ac:dyDescent="0.25">
      <c r="B29" s="28">
        <v>6</v>
      </c>
      <c r="C29" s="30" t="s">
        <v>52</v>
      </c>
      <c r="D29" s="30" t="s">
        <v>53</v>
      </c>
      <c r="E29" s="23" t="s">
        <v>54</v>
      </c>
      <c r="F29" s="24"/>
      <c r="G29" s="24"/>
    </row>
  </sheetData>
  <mergeCells count="6">
    <mergeCell ref="E24:G24"/>
    <mergeCell ref="E25:G25"/>
    <mergeCell ref="E29:G29"/>
    <mergeCell ref="E28:G28"/>
    <mergeCell ref="E27:G27"/>
    <mergeCell ref="E26:G26"/>
  </mergeCells>
  <hyperlinks>
    <hyperlink ref="H8" r:id="rId1" xr:uid="{41552581-B2AB-4345-9DFD-16C6C74982EC}"/>
    <hyperlink ref="H9" r:id="rId2" xr:uid="{62E26798-FA52-43A3-86C5-71538E810A62}"/>
    <hyperlink ref="I10" r:id="rId3" display="https://shopee.vn/C%C3%B4ng-t%E1%BA%AFc-h%C3%A0nh-tr%C3%ACnh-CMV103D-c%C3%B4ng-t%E1%BA%AFc-b%E1%BA%A3n-l%E1%BB%81-c%C3%B4ng-t%E1%BA%AFc-gi%E1%BB%9Bi-h%E1%BA%A1n-c%C3%B4ng-t%E1%BA%AFc-%C4%91i%E1%BB%81u-khi%E1%BB%83n-t%E1%BB%B1-%C4%91%E1%BB%99ng-c%C3%B4ng-t%E1%BA%AFc-chuy%E1%BB%83n-%C4%91%E1%BB%95i-c%C3%B4ng-t%E1%BA%AFc-i.634168798.24021100741?extraParams=%7B%22display_model_id%22%3A147260257474%2C%22model_selection_logic%22%3A3%7D&amp;sp_atk=df45b207-190b-4f51-98e7-c3258e6143e4&amp;xptdk=df45b207-190b-4f51-98e7-c3258e6143e4" xr:uid="{9DFEC021-4DE6-4374-86A0-973B9AD92B21}"/>
    <hyperlink ref="H10" r:id="rId4" xr:uid="{FF3DCF8D-EDDE-47EF-A004-E6B8A722D32E}"/>
    <hyperlink ref="H11" r:id="rId5" xr:uid="{CD4F966B-27F8-49B9-AD82-2058135A456F}"/>
    <hyperlink ref="H12" r:id="rId6" display="https://shopee.vn/10-Vi%C3%AAn-Nam-Ch%C3%A2m-Neodymium-Tr%E1%BA%AFng-Tr%C3%B2n-Si%C3%AAu-M%E1%BA%A1nh-N35-N52-Nhi%E1%BB%81u-K%C3%ADch-Th%C6%B0%E1%BB%9Bc-Nam-Ch%C3%A2m-V%C4%A9nh-C%E1%BB%ADu-L%E1%BB%B1c-H%C3%BAt-C%E1%BB%B1c-Kh%E1%BB%8Fe-i.1717132869.47104649043?extraParams=%7B%22display_model_id%22%3A320512478335%2C%22model_selection_logic%22%3A3%7D&amp;sp_atk=1bd1494c-0f5e-4ee6-ae89-21e8df58ab1d&amp;xptdk=1bd1494c-0f5e-4ee6-ae89-21e8df58ab1d" xr:uid="{68B0DE12-0593-4EC2-AFC6-DB124912AAD5}"/>
    <hyperlink ref="H13" r:id="rId7" xr:uid="{AF710BE0-1A15-42DC-AB68-F12AA59F92AC}"/>
    <hyperlink ref="H14" r:id="rId8" xr:uid="{8899417E-3F0A-4D84-8A35-C237A0D00E5E}"/>
    <hyperlink ref="H16" r:id="rId9" display="https://shopee.vn/Ren-c%E1%BA%A5y-Helicoil-inox-304-M2-M2.5-M3-M4-M5-M6-M8-M10-h%C3%A0ng-%C4%91%E1%BA%B9p-i.175876550.22900736198?extraParams=%7B%22display_model_id%22%3A192785844654%2C%22model_selection_logic%22%3A3%7D&amp;sp_atk=d75a4ae4-4720-48a9-b924-3befa3794c32&amp;xptdk=d75a4ae4-4720-48a9-b924-3befa3794c32" xr:uid="{32410AD7-EC7B-4E98-A342-FAECC6801C4D}"/>
  </hyperlinks>
  <pageMargins left="0.75" right="0.75" top="1" bottom="1" header="0.5" footer="0.5"/>
  <pageSetup orientation="landscape"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22"/>
  <sheetViews>
    <sheetView workbookViewId="0">
      <selection activeCell="K13" sqref="K13"/>
    </sheetView>
  </sheetViews>
  <sheetFormatPr defaultRowHeight="13.8" x14ac:dyDescent="0.25"/>
  <cols>
    <col min="2" max="2" width="6" customWidth="1"/>
    <col min="3" max="3" width="35" customWidth="1"/>
    <col min="4" max="4" width="55" customWidth="1"/>
    <col min="5" max="5" width="10" customWidth="1"/>
    <col min="6" max="6" width="15" customWidth="1"/>
    <col min="7" max="7" width="18" customWidth="1"/>
  </cols>
  <sheetData>
    <row r="2" spans="2:7" ht="19.8" x14ac:dyDescent="0.45">
      <c r="B2" s="1" t="s">
        <v>55</v>
      </c>
    </row>
    <row r="3" spans="2:7" ht="14.4" x14ac:dyDescent="0.3">
      <c r="B3" s="2" t="s">
        <v>56</v>
      </c>
    </row>
    <row r="5" spans="2:7" ht="15" x14ac:dyDescent="0.35">
      <c r="B5" s="3" t="s">
        <v>57</v>
      </c>
    </row>
    <row r="6" spans="2:7" ht="15" x14ac:dyDescent="0.25">
      <c r="B6" s="20" t="s">
        <v>3</v>
      </c>
      <c r="C6" s="20" t="s">
        <v>4</v>
      </c>
      <c r="D6" s="20" t="s">
        <v>5</v>
      </c>
      <c r="E6" s="20" t="s">
        <v>6</v>
      </c>
      <c r="F6" s="20" t="s">
        <v>7</v>
      </c>
      <c r="G6" s="20" t="s">
        <v>8</v>
      </c>
    </row>
    <row r="7" spans="2:7" ht="30" x14ac:dyDescent="0.35">
      <c r="B7" s="5">
        <v>1</v>
      </c>
      <c r="C7" s="6" t="s">
        <v>58</v>
      </c>
      <c r="D7" s="7" t="s">
        <v>59</v>
      </c>
      <c r="E7" s="5">
        <v>1</v>
      </c>
      <c r="F7" s="8">
        <v>250000</v>
      </c>
      <c r="G7" s="8">
        <f>E7*F7</f>
        <v>250000</v>
      </c>
    </row>
    <row r="8" spans="2:7" ht="30" x14ac:dyDescent="0.35">
      <c r="B8" s="9">
        <v>2</v>
      </c>
      <c r="C8" s="10" t="s">
        <v>60</v>
      </c>
      <c r="D8" s="11" t="s">
        <v>61</v>
      </c>
      <c r="E8" s="9">
        <v>1</v>
      </c>
      <c r="F8" s="12">
        <v>95000</v>
      </c>
      <c r="G8" s="12">
        <f>E8*F8</f>
        <v>95000</v>
      </c>
    </row>
    <row r="9" spans="2:7" ht="30" x14ac:dyDescent="0.35">
      <c r="B9" s="5">
        <v>3</v>
      </c>
      <c r="C9" s="6" t="s">
        <v>62</v>
      </c>
      <c r="D9" s="7" t="s">
        <v>63</v>
      </c>
      <c r="E9" s="5">
        <v>1</v>
      </c>
      <c r="F9" s="8">
        <v>180000</v>
      </c>
      <c r="G9" s="8">
        <f>E9*F9</f>
        <v>180000</v>
      </c>
    </row>
    <row r="10" spans="2:7" ht="45" x14ac:dyDescent="0.35">
      <c r="B10" s="9">
        <v>4</v>
      </c>
      <c r="C10" s="10" t="s">
        <v>64</v>
      </c>
      <c r="D10" s="11" t="s">
        <v>65</v>
      </c>
      <c r="E10" s="9">
        <v>1</v>
      </c>
      <c r="F10" s="12">
        <v>120000</v>
      </c>
      <c r="G10" s="12">
        <f>E10*F10</f>
        <v>120000</v>
      </c>
    </row>
    <row r="11" spans="2:7" ht="45" x14ac:dyDescent="0.35">
      <c r="B11" s="5">
        <v>5</v>
      </c>
      <c r="C11" s="6" t="s">
        <v>66</v>
      </c>
      <c r="D11" s="7" t="s">
        <v>67</v>
      </c>
      <c r="E11" s="5">
        <v>1</v>
      </c>
      <c r="F11" s="8">
        <v>150000</v>
      </c>
      <c r="G11" s="8">
        <f>E11*F11</f>
        <v>150000</v>
      </c>
    </row>
    <row r="12" spans="2:7" ht="15" x14ac:dyDescent="0.35">
      <c r="B12" s="13"/>
      <c r="C12" s="14" t="s">
        <v>68</v>
      </c>
      <c r="D12" s="13"/>
      <c r="E12" s="13"/>
      <c r="F12" s="13"/>
      <c r="G12" s="15">
        <f>SUM(G7:G11)</f>
        <v>795000</v>
      </c>
    </row>
    <row r="15" spans="2:7" ht="15" x14ac:dyDescent="0.35">
      <c r="B15" s="3" t="s">
        <v>69</v>
      </c>
    </row>
    <row r="16" spans="2:7" ht="15" x14ac:dyDescent="0.25">
      <c r="B16" s="20" t="s">
        <v>3</v>
      </c>
      <c r="C16" s="20" t="s">
        <v>34</v>
      </c>
      <c r="D16" s="20" t="s">
        <v>35</v>
      </c>
      <c r="E16" s="20" t="s">
        <v>36</v>
      </c>
    </row>
    <row r="17" spans="2:9" ht="60" x14ac:dyDescent="0.25">
      <c r="B17" s="18">
        <v>1</v>
      </c>
      <c r="C17" s="19" t="s">
        <v>70</v>
      </c>
      <c r="D17" s="19" t="s">
        <v>71</v>
      </c>
      <c r="E17" s="23" t="s">
        <v>72</v>
      </c>
      <c r="F17" s="24"/>
      <c r="G17" s="24"/>
      <c r="H17" s="24"/>
    </row>
    <row r="18" spans="2:9" ht="75" x14ac:dyDescent="0.25">
      <c r="B18" s="16">
        <v>2</v>
      </c>
      <c r="C18" s="17" t="s">
        <v>73</v>
      </c>
      <c r="D18" s="17" t="s">
        <v>74</v>
      </c>
      <c r="E18" s="21" t="s">
        <v>75</v>
      </c>
      <c r="F18" s="22"/>
      <c r="G18" s="22"/>
      <c r="H18" s="22"/>
    </row>
    <row r="19" spans="2:9" ht="60" x14ac:dyDescent="0.25">
      <c r="B19" s="18">
        <v>3</v>
      </c>
      <c r="C19" s="19" t="s">
        <v>76</v>
      </c>
      <c r="D19" s="19" t="s">
        <v>77</v>
      </c>
      <c r="E19" s="23" t="s">
        <v>78</v>
      </c>
      <c r="F19" s="24"/>
      <c r="G19" s="24"/>
      <c r="H19" s="24"/>
    </row>
    <row r="20" spans="2:9" ht="75" x14ac:dyDescent="0.25">
      <c r="B20" s="16">
        <v>4</v>
      </c>
      <c r="C20" s="17" t="s">
        <v>79</v>
      </c>
      <c r="D20" s="17" t="s">
        <v>80</v>
      </c>
      <c r="E20" s="21" t="s">
        <v>81</v>
      </c>
      <c r="F20" s="22"/>
      <c r="G20" s="22"/>
      <c r="H20" s="22"/>
    </row>
    <row r="21" spans="2:9" ht="60" x14ac:dyDescent="0.25">
      <c r="B21" s="18">
        <v>5</v>
      </c>
      <c r="C21" s="19" t="s">
        <v>82</v>
      </c>
      <c r="D21" s="19" t="s">
        <v>83</v>
      </c>
      <c r="E21" s="23" t="s">
        <v>84</v>
      </c>
      <c r="F21" s="24"/>
      <c r="G21" s="24"/>
      <c r="H21" s="24"/>
    </row>
    <row r="22" spans="2:9" ht="60" x14ac:dyDescent="0.25">
      <c r="B22" s="16">
        <v>6</v>
      </c>
      <c r="C22" s="17" t="s">
        <v>85</v>
      </c>
      <c r="D22" s="17" t="s">
        <v>86</v>
      </c>
      <c r="E22" s="21" t="s">
        <v>87</v>
      </c>
      <c r="F22" s="22"/>
      <c r="G22" s="22"/>
      <c r="H22" s="22"/>
      <c r="I22" s="22"/>
    </row>
  </sheetData>
  <mergeCells count="6">
    <mergeCell ref="E22:I22"/>
    <mergeCell ref="E21:H21"/>
    <mergeCell ref="E20:H20"/>
    <mergeCell ref="E19:H19"/>
    <mergeCell ref="E18:H18"/>
    <mergeCell ref="E17:H1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Phase 1 - Cơ Khí &amp; Tín Hiệu</vt:lpstr>
      <vt:lpstr>Phase 2 - Phản Hồi Lực FFB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Tai</cp:lastModifiedBy>
  <cp:lastPrinted>2026-07-10T17:00:12Z</cp:lastPrinted>
  <dcterms:created xsi:type="dcterms:W3CDTF">2026-07-10T16:17:03Z</dcterms:created>
  <dcterms:modified xsi:type="dcterms:W3CDTF">2026-07-10T17:00:28Z</dcterms:modified>
</cp:coreProperties>
</file>